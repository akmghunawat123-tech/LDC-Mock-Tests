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10" i="1" l="1"/>
  <c r="C10" i="1"/>
  <c r="G3" i="1"/>
  <c r="G4" i="1"/>
  <c r="G5" i="1"/>
  <c r="G6" i="1"/>
  <c r="G7" i="1"/>
  <c r="G8" i="1"/>
  <c r="G2" i="1"/>
  <c r="F3" i="1"/>
  <c r="F4" i="1"/>
  <c r="F5" i="1"/>
  <c r="F6" i="1"/>
  <c r="F7" i="1"/>
  <c r="F8" i="1"/>
  <c r="F2" i="1"/>
  <c r="E3" i="1"/>
  <c r="E4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<sst xmlns="http://schemas.openxmlformats.org/spreadsheetml/2006/main" count="22" uniqueCount="22">
  <si>
    <t>Beneficiary ID</t>
  </si>
  <si>
    <t>Beneficiary Name</t>
  </si>
  <si>
    <t>Principal Loan</t>
  </si>
  <si>
    <t>Projected Interest</t>
  </si>
  <si>
    <t>Total Requirement</t>
  </si>
  <si>
    <t>State Subsidy</t>
  </si>
  <si>
    <t>Net Allocation</t>
  </si>
  <si>
    <t>AG-1001</t>
  </si>
  <si>
    <t>Ramesh Chaudhary</t>
  </si>
  <si>
    <t>AG-1002</t>
  </si>
  <si>
    <t>Sunita Meena</t>
  </si>
  <si>
    <t>AG-1003</t>
  </si>
  <si>
    <t>Vikram Singh</t>
  </si>
  <si>
    <t>AG-1004</t>
  </si>
  <si>
    <t>Kailash Bishnoi</t>
  </si>
  <si>
    <t>AG-1005</t>
  </si>
  <si>
    <t>Pooja Sharma</t>
  </si>
  <si>
    <t>AG-1006</t>
  </si>
  <si>
    <t>Mohan Lal Jat</t>
  </si>
  <si>
    <t>AG-1007</t>
  </si>
  <si>
    <t>Anita Rajput</t>
  </si>
  <si>
    <t>Total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</si>
</sst>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/>
    <xf numFmtId="0" fontId="2" fillId="0" borderId="1" xfId="0" applyFon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E6" sqref="E6"/>
    </sheetView>
  </sheetViews>
  <sheetFormatPr defaultRowHeight="18.75" x14ac:dyDescent="0.3"/>
  <cols>
    <col min="1" max="1" width="13.42578125" bestFit="1" customWidth="1"/>
    <col min="2" max="2" width="18.140625" bestFit="1" customWidth="1"/>
    <col min="3" max="3" width="13.42578125" bestFit="1" customWidth="1"/>
    <col min="4" max="4" width="22.42578125" style="2" bestFit="1" customWidth="1"/>
    <col min="5" max="5" width="17.85546875" bestFit="1" customWidth="1"/>
    <col min="6" max="6" width="12.85546875" bestFit="1" customWidth="1"/>
  </cols>
  <sheetData>
    <row r="1" spans="1:7" ht="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4" t="s">
        <v>7</v>
      </c>
      <c r="B2" s="5" t="s">
        <v>8</v>
      </c>
      <c r="C2" s="6">
        <v>45000</v>
      </c>
      <c r="D2" s="7">
        <v>3150</v>
      </c>
      <c r="E2" s="4">
        <f>C2+D2</f>
        <v>48150</v>
      </c>
      <c r="F2" s="4">
        <f>E2*10%</f>
        <v>4815</v>
      </c>
      <c r="G2" s="4">
        <f>E2-F2</f>
        <v>43335</v>
      </c>
    </row>
    <row r="3" spans="1:7" x14ac:dyDescent="0.3">
      <c r="A3" s="4" t="s">
        <v>9</v>
      </c>
      <c r="B3" s="5" t="s">
        <v>10</v>
      </c>
      <c r="C3" s="6">
        <v>62000</v>
      </c>
      <c r="D3" s="7">
        <v>4340</v>
      </c>
      <c r="E3" s="4">
        <f t="shared" ref="E3:E8" si="0">C3+D3</f>
        <v>66340</v>
      </c>
      <c r="F3" s="4">
        <f t="shared" ref="F3:F8" si="1">E3*10%</f>
        <v>6634</v>
      </c>
      <c r="G3" s="4">
        <f t="shared" ref="G3:G8" si="2">E3-F3</f>
        <v>59706</v>
      </c>
    </row>
    <row r="4" spans="1:7" x14ac:dyDescent="0.3">
      <c r="A4" s="8" t="s">
        <v>11</v>
      </c>
      <c r="B4" s="5" t="s">
        <v>12</v>
      </c>
      <c r="C4" s="6">
        <v>38000</v>
      </c>
      <c r="D4" s="7">
        <v>2660</v>
      </c>
      <c r="E4" s="4">
        <f t="shared" si="0"/>
        <v>40660</v>
      </c>
      <c r="F4" s="4">
        <f t="shared" si="1"/>
        <v>4066</v>
      </c>
      <c r="G4" s="4">
        <f t="shared" si="2"/>
        <v>36594</v>
      </c>
    </row>
    <row r="5" spans="1:7" x14ac:dyDescent="0.3">
      <c r="A5" s="4" t="s">
        <v>13</v>
      </c>
      <c r="B5" s="5" t="s">
        <v>14</v>
      </c>
      <c r="C5" s="6">
        <v>75000</v>
      </c>
      <c r="D5" s="7">
        <v>5250</v>
      </c>
      <c r="E5" s="4">
        <f t="shared" si="0"/>
        <v>80250</v>
      </c>
      <c r="F5" s="4">
        <f t="shared" si="1"/>
        <v>8025</v>
      </c>
      <c r="G5" s="4">
        <f t="shared" si="2"/>
        <v>72225</v>
      </c>
    </row>
    <row r="6" spans="1:7" x14ac:dyDescent="0.3">
      <c r="A6" s="4" t="s">
        <v>15</v>
      </c>
      <c r="B6" s="5" t="s">
        <v>16</v>
      </c>
      <c r="C6" s="6">
        <v>54000</v>
      </c>
      <c r="D6" s="7">
        <v>3780</v>
      </c>
      <c r="E6" s="4">
        <f t="shared" si="0"/>
        <v>57780</v>
      </c>
      <c r="F6" s="4">
        <f t="shared" si="1"/>
        <v>5778</v>
      </c>
      <c r="G6" s="4">
        <f t="shared" si="2"/>
        <v>52002</v>
      </c>
    </row>
    <row r="7" spans="1:7" x14ac:dyDescent="0.3">
      <c r="A7" s="4" t="s">
        <v>17</v>
      </c>
      <c r="B7" s="5" t="s">
        <v>18</v>
      </c>
      <c r="C7" s="6">
        <v>41000</v>
      </c>
      <c r="D7" s="7">
        <v>2870</v>
      </c>
      <c r="E7" s="4">
        <f t="shared" si="0"/>
        <v>43870</v>
      </c>
      <c r="F7" s="4">
        <f t="shared" si="1"/>
        <v>4387</v>
      </c>
      <c r="G7" s="4">
        <f t="shared" si="2"/>
        <v>39483</v>
      </c>
    </row>
    <row r="8" spans="1:7" x14ac:dyDescent="0.3">
      <c r="A8" s="4" t="s">
        <v>19</v>
      </c>
      <c r="B8" s="5" t="s">
        <v>20</v>
      </c>
      <c r="C8" s="6">
        <v>68000</v>
      </c>
      <c r="D8" s="7">
        <v>4760</v>
      </c>
      <c r="E8" s="4">
        <f t="shared" si="0"/>
        <v>72760</v>
      </c>
      <c r="F8" s="4">
        <f t="shared" si="1"/>
        <v>7276</v>
      </c>
      <c r="G8" s="4">
        <f t="shared" si="2"/>
        <v>65484</v>
      </c>
    </row>
    <row r="10" spans="1:7" x14ac:dyDescent="0.3">
      <c r="A10" s="1" t="s">
        <v>21</v>
      </c>
      <c r="C10">
        <f>SUM(C2:C8)</f>
        <v>383000</v>
      </c>
      <c r="D10" s="2">
        <f>AVERAGE(D2:D8)</f>
        <v>3830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2026-10-24T07:43:24Z</dcterms:modified>
</cp:coreProperties>
</file>