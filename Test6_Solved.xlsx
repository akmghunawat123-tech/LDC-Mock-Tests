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5" windowWidth="13395" windowHeight="7245"/>
  </bookViews>
  <sheets>
    <sheet name="Test5_Solved" sheetId="2" r:id="rId1"/>
  </sheets>
  <calcPr calcId="144525"/>
</workbook>
</file>

<file path=xl/calcChain.xml><?xml version="1.0" encoding="utf-8"?>
<calcChain xmlns="http://schemas.openxmlformats.org/spreadsheetml/2006/main">
  <c r="A21" i="2" l="1" a="1"/>
  <c r="A21" i="2" s="1"/>
  <c r="A18" i="2" a="1"/>
  <c r="A18" i="2" s="1"/>
  <c r="A19" i="2" a="1"/>
  <c r="A19" i="2" s="1"/>
  <c r="A20" i="2" a="1"/>
  <c r="A20" i="2"/>
  <c r="A17" i="2" a="1"/>
  <c r="A17" i="2" s="1"/>
  <c r="G14" i="2"/>
  <c r="D14" i="2"/>
  <c r="C14" i="2"/>
  <c r="B14" i="2"/>
  <c r="A14" i="2"/>
  <c r="F4" i="2"/>
  <c r="F5" i="2"/>
  <c r="F6" i="2"/>
  <c r="F7" i="2"/>
  <c r="F8" i="2"/>
  <c r="F9" i="2"/>
  <c r="F10" i="2"/>
  <c r="F11" i="2"/>
  <c r="F12" i="2"/>
  <c r="F3" i="2"/>
  <c r="E4" i="2"/>
  <c r="E5" i="2"/>
  <c r="E6" i="2"/>
  <c r="E7" i="2"/>
  <c r="E8" i="2"/>
  <c r="E9" i="2"/>
  <c r="E10" i="2"/>
  <c r="E11" i="2"/>
  <c r="E12" i="2"/>
  <c r="E3" i="2"/>
</calcChain>
</file>

<file path=xl/sharedStrings.xml><?xml version="1.0" encoding="utf-8"?>
<sst xmlns="http://schemas.openxmlformats.org/spreadsheetml/2006/main" count="19" uniqueCount="19">
  <si>
    <t>RSSB LDC EFFICIENY TEST 2026</t>
  </si>
  <si>
    <t>S.NO.</t>
  </si>
  <si>
    <t>MARKS</t>
  </si>
  <si>
    <t>Distance</t>
  </si>
  <si>
    <t>JOINING DATE</t>
  </si>
  <si>
    <t>RAMESH KUMAR</t>
  </si>
  <si>
    <t>MAHESH SHARMA</t>
  </si>
  <si>
    <t xml:space="preserve">SAURABH </t>
  </si>
  <si>
    <t>MAYANK</t>
  </si>
  <si>
    <t>AJAY SINGH</t>
  </si>
  <si>
    <t>AKSHAY KUMAR</t>
  </si>
  <si>
    <t>SHIVANI SHARMA</t>
  </si>
  <si>
    <t>GAURAV GUPTA</t>
  </si>
  <si>
    <t>VIRAT SINGH</t>
  </si>
  <si>
    <t>SAMAY SINGH</t>
  </si>
  <si>
    <t>EMPLOYEE NAME</t>
  </si>
  <si>
    <r>
      <t xml:space="preserve">PASS/FAIL
</t>
    </r>
    <r>
      <rPr>
        <sz val="8"/>
        <color theme="1"/>
        <rFont val="Calibri"/>
        <family val="2"/>
        <scheme val="minor"/>
      </rPr>
      <t>(Candidate who gets 40 or above pass)</t>
    </r>
  </si>
  <si>
    <r>
      <t>Active/Inactive
(</t>
    </r>
    <r>
      <rPr>
        <sz val="8"/>
        <color theme="1"/>
        <rFont val="Calibri"/>
        <family val="2"/>
        <scheme val="minor"/>
      </rPr>
      <t>Candidate who gets 0 marks is inactive)</t>
    </r>
  </si>
  <si>
    <t>Congratulations to Dear Employee for getting promated , Promoting list in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</si>
</sst>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F800]dddd\,\ mmmm\ dd\,\ yyyy"/>
    <numFmt numFmtId="165" formatCode="0.0"/>
  </numFmts>
  <fonts count="4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1"/>
      <name val="Georgia"/>
      <family val="1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0" fontId="0" fillId="3" borderId="1" xfId="0" applyFill="1" applyBorder="1"/>
    <xf numFmtId="18" fontId="0" fillId="0" borderId="1" xfId="0" applyNumberFormat="1" applyBorder="1"/>
    <xf numFmtId="165" fontId="0" fillId="0" borderId="1" xfId="0" applyNumberFormat="1" applyBorder="1"/>
    <xf numFmtId="0" fontId="0" fillId="0" borderId="1" xfId="0" applyBorder="1" applyAlignment="1">
      <alignment horizontal="left"/>
    </xf>
    <xf numFmtId="0" fontId="3" fillId="0" borderId="0" xfId="0" applyFont="1"/>
    <xf numFmtId="0" fontId="0" fillId="2" borderId="0" xfId="0" applyFill="1" applyAlignment="1">
      <alignment wrapText="1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rgb="FFFF0000"/>
      </font>
    </dxf>
    <dxf>
      <font>
        <color rgb="FF00B050"/>
      </font>
    </dxf>
  </dxfs>
  <tableStyles count="0" defaultTableStyle="TableStyleMedium2" defaultPivotStyle="PivotStyleLight16"/>
  <colors>
    <mruColors>
      <color rgb="FF92D05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1"/>
  <sheetViews>
    <sheetView tabSelected="1" view="pageLayout" zoomScaleNormal="100" workbookViewId="0">
      <selection activeCell="A16" sqref="A16"/>
    </sheetView>
  </sheetViews>
  <sheetFormatPr defaultRowHeight="15" x14ac:dyDescent="0.25"/>
  <cols>
    <col min="1" max="1" width="27.5703125" customWidth="1"/>
    <col min="2" max="2" width="17.28515625" bestFit="1" customWidth="1"/>
    <col min="3" max="3" width="17.42578125" bestFit="1" customWidth="1"/>
    <col min="4" max="4" width="16.140625" bestFit="1" customWidth="1"/>
    <col min="5" max="5" width="17.28515625" bestFit="1" customWidth="1"/>
    <col min="6" max="6" width="28.5703125" bestFit="1" customWidth="1"/>
    <col min="7" max="7" width="19.140625" bestFit="1" customWidth="1"/>
  </cols>
  <sheetData>
    <row r="1" spans="1:7" ht="18" x14ac:dyDescent="0.25">
      <c r="A1" s="12" t="s">
        <v>0</v>
      </c>
      <c r="B1" s="12"/>
      <c r="C1" s="12"/>
      <c r="D1" s="12"/>
      <c r="E1" s="12"/>
      <c r="F1" s="12"/>
      <c r="G1" s="12"/>
    </row>
    <row r="2" spans="1:7" ht="41.25" x14ac:dyDescent="0.25">
      <c r="A2" s="1" t="s">
        <v>1</v>
      </c>
      <c r="B2" s="1" t="s">
        <v>4</v>
      </c>
      <c r="C2" s="1" t="s">
        <v>15</v>
      </c>
      <c r="D2" s="1" t="s">
        <v>2</v>
      </c>
      <c r="E2" s="2" t="s">
        <v>16</v>
      </c>
      <c r="F2" s="2" t="s">
        <v>17</v>
      </c>
      <c r="G2" s="1" t="s">
        <v>3</v>
      </c>
    </row>
    <row r="3" spans="1:7" x14ac:dyDescent="0.25">
      <c r="A3" s="9">
        <v>1</v>
      </c>
      <c r="B3" s="5">
        <v>44117</v>
      </c>
      <c r="C3" s="3" t="s">
        <v>5</v>
      </c>
      <c r="D3" s="8">
        <v>80.8</v>
      </c>
      <c r="E3" s="3" t="str">
        <f>IF(D3:D12&gt;=40, "Pass", "Fail")</f>
        <v>Pass</v>
      </c>
      <c r="F3" s="3" t="str">
        <f>IF(D3:D12&gt;0, "Active", "Inactive")</f>
        <v>Active</v>
      </c>
      <c r="G3" s="3">
        <v>100</v>
      </c>
    </row>
    <row r="4" spans="1:7" x14ac:dyDescent="0.25">
      <c r="A4" s="9">
        <v>2</v>
      </c>
      <c r="B4" s="5">
        <v>42224</v>
      </c>
      <c r="C4" s="3" t="s">
        <v>6</v>
      </c>
      <c r="D4" s="8">
        <v>70.42</v>
      </c>
      <c r="E4" s="3" t="str">
        <f t="shared" ref="E4:E12" si="0">IF(D4:D13&gt;=40, "Pass", "Fail")</f>
        <v>Pass</v>
      </c>
      <c r="F4" s="3" t="str">
        <f t="shared" ref="F4:F12" si="1">IF(D4:D13&gt;0, "Active", "Inactive")</f>
        <v>Active</v>
      </c>
      <c r="G4" s="6">
        <v>70</v>
      </c>
    </row>
    <row r="5" spans="1:7" x14ac:dyDescent="0.25">
      <c r="A5" s="9">
        <v>3</v>
      </c>
      <c r="B5" s="5">
        <v>44261</v>
      </c>
      <c r="C5" s="3" t="s">
        <v>7</v>
      </c>
      <c r="D5" s="8">
        <v>32.11</v>
      </c>
      <c r="E5" s="3" t="str">
        <f t="shared" si="0"/>
        <v>Fail</v>
      </c>
      <c r="F5" s="3" t="str">
        <f t="shared" si="1"/>
        <v>Active</v>
      </c>
      <c r="G5" s="3">
        <v>232</v>
      </c>
    </row>
    <row r="6" spans="1:7" x14ac:dyDescent="0.25">
      <c r="A6" s="9">
        <v>4</v>
      </c>
      <c r="B6" s="5">
        <v>40645</v>
      </c>
      <c r="C6" s="3" t="s">
        <v>8</v>
      </c>
      <c r="D6" s="8">
        <v>0</v>
      </c>
      <c r="E6" s="3" t="str">
        <f t="shared" si="0"/>
        <v>Fail</v>
      </c>
      <c r="F6" s="3" t="str">
        <f t="shared" si="1"/>
        <v>Inactive</v>
      </c>
      <c r="G6" s="3">
        <v>311</v>
      </c>
    </row>
    <row r="7" spans="1:7" x14ac:dyDescent="0.25">
      <c r="A7" s="9">
        <v>5</v>
      </c>
      <c r="B7" s="5">
        <v>43596</v>
      </c>
      <c r="C7" s="3" t="s">
        <v>9</v>
      </c>
      <c r="D7" s="8">
        <v>47.212000000000003</v>
      </c>
      <c r="E7" s="3" t="str">
        <f t="shared" si="0"/>
        <v>Pass</v>
      </c>
      <c r="F7" s="3" t="str">
        <f t="shared" si="1"/>
        <v>Active</v>
      </c>
      <c r="G7" s="6">
        <v>56</v>
      </c>
    </row>
    <row r="8" spans="1:7" x14ac:dyDescent="0.25">
      <c r="A8" s="9">
        <v>6</v>
      </c>
      <c r="B8" s="5">
        <v>43083</v>
      </c>
      <c r="C8" s="3" t="s">
        <v>10</v>
      </c>
      <c r="D8" s="8">
        <v>36.229999999999997</v>
      </c>
      <c r="E8" s="3" t="str">
        <f t="shared" si="0"/>
        <v>Fail</v>
      </c>
      <c r="F8" s="3" t="str">
        <f t="shared" si="1"/>
        <v>Active</v>
      </c>
      <c r="G8" s="6">
        <v>56</v>
      </c>
    </row>
    <row r="9" spans="1:7" x14ac:dyDescent="0.25">
      <c r="A9" s="9">
        <v>7</v>
      </c>
      <c r="B9" s="5">
        <v>37547</v>
      </c>
      <c r="C9" s="3" t="s">
        <v>11</v>
      </c>
      <c r="D9" s="8">
        <v>33.566699999999997</v>
      </c>
      <c r="E9" s="3" t="str">
        <f t="shared" si="0"/>
        <v>Fail</v>
      </c>
      <c r="F9" s="3" t="str">
        <f t="shared" si="1"/>
        <v>Active</v>
      </c>
      <c r="G9" s="6">
        <v>34</v>
      </c>
    </row>
    <row r="10" spans="1:7" x14ac:dyDescent="0.25">
      <c r="A10" s="9">
        <v>8</v>
      </c>
      <c r="B10" s="5">
        <v>44594</v>
      </c>
      <c r="C10" s="3" t="s">
        <v>12</v>
      </c>
      <c r="D10" s="8">
        <v>68.488</v>
      </c>
      <c r="E10" s="3" t="str">
        <f t="shared" si="0"/>
        <v>Pass</v>
      </c>
      <c r="F10" s="3" t="str">
        <f t="shared" si="1"/>
        <v>Active</v>
      </c>
      <c r="G10" s="3">
        <v>231</v>
      </c>
    </row>
    <row r="11" spans="1:7" x14ac:dyDescent="0.25">
      <c r="A11" s="9">
        <v>9</v>
      </c>
      <c r="B11" s="5">
        <v>40763</v>
      </c>
      <c r="C11" s="3" t="s">
        <v>13</v>
      </c>
      <c r="D11" s="8">
        <v>0</v>
      </c>
      <c r="E11" s="3" t="str">
        <f t="shared" si="0"/>
        <v>Fail</v>
      </c>
      <c r="F11" s="3" t="str">
        <f t="shared" si="1"/>
        <v>Inactive</v>
      </c>
      <c r="G11" s="6">
        <v>53</v>
      </c>
    </row>
    <row r="12" spans="1:7" x14ac:dyDescent="0.25">
      <c r="A12" s="9">
        <v>10</v>
      </c>
      <c r="B12" s="5">
        <v>38477</v>
      </c>
      <c r="C12" s="3" t="s">
        <v>14</v>
      </c>
      <c r="D12" s="8">
        <v>92.1</v>
      </c>
      <c r="E12" s="3" t="str">
        <f t="shared" si="0"/>
        <v>Pass</v>
      </c>
      <c r="F12" s="3" t="str">
        <f t="shared" si="1"/>
        <v>Active</v>
      </c>
      <c r="G12" s="6">
        <v>23</v>
      </c>
    </row>
    <row r="13" spans="1:7" x14ac:dyDescent="0.25">
      <c r="A13" s="3"/>
      <c r="B13" s="3"/>
      <c r="C13" s="3"/>
      <c r="D13" s="3"/>
      <c r="E13" s="3"/>
      <c r="F13" s="3"/>
      <c r="G13" s="3"/>
    </row>
    <row r="14" spans="1:7" x14ac:dyDescent="0.25">
      <c r="A14" s="3">
        <f>COUNTIF(E3:E12, "Pass")</f>
        <v>5</v>
      </c>
      <c r="B14" s="4">
        <f ca="1">TODAY()</f>
        <v>46326</v>
      </c>
      <c r="C14" s="7">
        <f ca="1">TIME(HOUR(NOW()), MINUTE(NOW()), SECOND(NOW()))</f>
        <v>0.92853009259259256</v>
      </c>
      <c r="D14" s="3">
        <f>AVERAGE(D3:D12)</f>
        <v>46.092669999999998</v>
      </c>
      <c r="E14" s="3"/>
      <c r="F14" s="3"/>
      <c r="G14" s="3">
        <f>AVERAGE(G3:G12)</f>
        <v>116.6</v>
      </c>
    </row>
    <row r="16" spans="1:7" ht="60" x14ac:dyDescent="0.25">
      <c r="A16" s="11" t="s">
        <v>18</v>
      </c>
    </row>
    <row r="17" spans="1:1" x14ac:dyDescent="0.25">
      <c r="A17" s="10" t="str">
        <f t="array" ref="A17">IFERROR(INDEX($C$3:$C$12, SMALL(IF($E$3:$E$12="Pass", ROW($C$3:$C$12)-ROW($C$3)+1), ROW(A1))), "")</f>
        <v>RAMESH KUMAR</v>
      </c>
    </row>
    <row r="18" spans="1:1" x14ac:dyDescent="0.25">
      <c r="A18" s="10" t="str">
        <f t="array" ref="A18">IFERROR(INDEX($C$3:$C$12, SMALL(IF($E$3:$E$12="Pass", ROW($C$3:$C$12)-ROW($C$3)+1), ROW(A2))), "")</f>
        <v>MAHESH SHARMA</v>
      </c>
    </row>
    <row r="19" spans="1:1" x14ac:dyDescent="0.25">
      <c r="A19" s="10" t="str">
        <f t="array" ref="A19">IFERROR(INDEX($C$3:$C$12, SMALL(IF($E$3:$E$12="Pass", ROW($C$3:$C$12)-ROW($C$3)+1), ROW(A3))), "")</f>
        <v>AJAY SINGH</v>
      </c>
    </row>
    <row r="20" spans="1:1" x14ac:dyDescent="0.25">
      <c r="A20" s="10" t="str">
        <f t="array" ref="A20">IFERROR(INDEX($C$3:$C$12, SMALL(IF($E$3:$E$12="Pass", ROW($C$3:$C$12)-ROW($C$3)+1), ROW(A4))), "")</f>
        <v>GAURAV GUPTA</v>
      </c>
    </row>
    <row r="21" spans="1:1" x14ac:dyDescent="0.25">
      <c r="A21" s="10" t="str">
        <f t="array" ref="A21">IFERROR(INDEX($C$3:$C$12, SMALL(IF($E$3:$E$12="Pass", ROW($C$3:$C$12)-ROW($C$3)+1), ROW(A5))), "")</f>
        <v>SAMAY SINGH</v>
      </c>
    </row>
  </sheetData>
  <mergeCells count="1">
    <mergeCell ref="A1:G1"/>
  </mergeCells>
  <conditionalFormatting sqref="G3:G12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{F4FC9B54-DD88-4BB3-9ED7-6A14A7527B34}</x14:id>
        </ext>
      </extLst>
    </cfRule>
  </conditionalFormatting>
  <conditionalFormatting sqref="F3:F12">
    <cfRule type="cellIs" dxfId="1" priority="2" operator="equal">
      <formula>"Active"</formula>
    </cfRule>
  </conditionalFormatting>
  <conditionalFormatting sqref="E3:E12">
    <cfRule type="containsText" dxfId="0" priority="1" operator="containsText" text="Fail">
      <formula>NOT(ISERROR(SEARCH("Fail",E3)))</formula>
    </cfRule>
  </conditionalFormatting>
  <pageMargins left="0.70866141732283472" right="0.70866141732283472" top="0.74803149606299213" bottom="0.74803149606299213" header="0.31496062992125984" footer="0.31496062992125984"/>
  <pageSetup paperSize="5" scale="62" fitToHeight="2" orientation="portrait" r:id="rId1"/>
  <headerFooter>
    <oddHeader>&amp;L&amp;F&amp;C&amp;T&amp;R&amp;D</oddHeader>
    <oddFooter>&amp;L&amp;"-,Bold"&amp;A&amp;C&amp;"-,Bold"&amp;N&amp;R&amp;"-,Bold"&amp;P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4FC9B54-DD88-4BB3-9ED7-6A14A7527B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G3:G12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Test5_Solved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asharam meena</dc:creator>
  <cp:lastModifiedBy>asharam meena</cp:lastModifiedBy>
  <dcterms:created xsi:type="dcterms:W3CDTF">2026-10-31T05:21:40Z</dcterms:created>
  <dcterms:modified xsi:type="dcterms:W3CDTF">2026-10-31T16:47:28Z</dcterms:modified>
</cp:coreProperties>
</file>