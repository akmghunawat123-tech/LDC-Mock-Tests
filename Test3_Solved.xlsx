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Candidate Name</t>
        </is>
      </c>
      <c r="C1" s="1" t="inlineStr">
        <is>
          <t>Basic Salary</t>
        </is>
      </c>
      <c r="D1" s="1" t="inlineStr">
        <is>
          <t>DA (12.5%)</t>
        </is>
      </c>
      <c r="E1" s="1" t="inlineStr">
        <is>
          <t>HRA (7.5%)</t>
        </is>
      </c>
      <c r="F1" s="1" t="inlineStr">
        <is>
          <t>Gross Pay</t>
        </is>
      </c>
      <c r="G1" s="1" t="inlineStr">
        <is>
          <t>EPF (4%)</t>
        </is>
      </c>
      <c r="H1" s="1" t="inlineStr">
        <is>
          <t>Net Payable</t>
        </is>
      </c>
    </row>
    <row r="2">
      <c r="A2" s="2" t="inlineStr">
        <is>
          <t>RAJ-801</t>
        </is>
      </c>
      <c r="B2" s="3" t="inlineStr">
        <is>
          <t>Vikram Singh Rathore</t>
        </is>
      </c>
      <c r="C2" s="4" t="n">
        <v>42500</v>
      </c>
      <c r="D2" s="2">
        <f>C2*12.5%</f>
        <v/>
      </c>
      <c r="E2" s="2">
        <f>C2*7.5%</f>
        <v/>
      </c>
      <c r="F2" s="2">
        <f>SUM(C2:E2)</f>
        <v/>
      </c>
      <c r="G2" s="2">
        <f>C2*4%</f>
        <v/>
      </c>
      <c r="H2" s="2">
        <f>F2-G2</f>
        <v/>
      </c>
    </row>
    <row r="3">
      <c r="A3" s="2" t="inlineStr">
        <is>
          <t>RAJ-802</t>
        </is>
      </c>
      <c r="B3" s="3" t="inlineStr">
        <is>
          <t>Anita Choudhary</t>
        </is>
      </c>
      <c r="C3" s="4" t="n">
        <v>56000</v>
      </c>
      <c r="D3" s="2">
        <f>C3*12.5%</f>
        <v/>
      </c>
      <c r="E3" s="2">
        <f>C3*7.5%</f>
        <v/>
      </c>
      <c r="F3" s="2">
        <f>SUM(C3:E3)</f>
        <v/>
      </c>
      <c r="G3" s="2">
        <f>C3*4%</f>
        <v/>
      </c>
      <c r="H3" s="2">
        <f>F3-G3</f>
        <v/>
      </c>
    </row>
    <row r="4">
      <c r="A4" s="2" t="inlineStr">
        <is>
          <t>RAJ-803</t>
        </is>
      </c>
      <c r="B4" s="3" t="inlineStr">
        <is>
          <t>Mahendra Kumar Meena</t>
        </is>
      </c>
      <c r="C4" s="4" t="n">
        <v>31000</v>
      </c>
      <c r="D4" s="2">
        <f>C4*12.5%</f>
        <v/>
      </c>
      <c r="E4" s="2">
        <f>C4*7.5%</f>
        <v/>
      </c>
      <c r="F4" s="2">
        <f>SUM(C4:E4)</f>
        <v/>
      </c>
      <c r="G4" s="2">
        <f>C4*4%</f>
        <v/>
      </c>
      <c r="H4" s="2">
        <f>F4-G4</f>
        <v/>
      </c>
    </row>
    <row r="5">
      <c r="A5" s="2" t="inlineStr">
        <is>
          <t>RAJ-804</t>
        </is>
      </c>
      <c r="B5" s="3" t="inlineStr">
        <is>
          <t>Priyanka Sharma</t>
        </is>
      </c>
      <c r="C5" s="4" t="n">
        <v>68500</v>
      </c>
      <c r="D5" s="2">
        <f>C5*12.5%</f>
        <v/>
      </c>
      <c r="E5" s="2">
        <f>C5*7.5%</f>
        <v/>
      </c>
      <c r="F5" s="2">
        <f>SUM(C5:E5)</f>
        <v/>
      </c>
      <c r="G5" s="2">
        <f>C5*4%</f>
        <v/>
      </c>
      <c r="H5" s="2">
        <f>F5-G5</f>
        <v/>
      </c>
    </row>
    <row r="6">
      <c r="A6" s="2" t="inlineStr">
        <is>
          <t>RAJ-805</t>
        </is>
      </c>
      <c r="B6" s="3" t="inlineStr">
        <is>
          <t>Dharmendra Gurjar</t>
        </is>
      </c>
      <c r="C6" s="4" t="n">
        <v>49000</v>
      </c>
      <c r="D6" s="2">
        <f>C6*12.5%</f>
        <v/>
      </c>
      <c r="E6" s="2">
        <f>C6*7.5%</f>
        <v/>
      </c>
      <c r="F6" s="2">
        <f>SUM(C6:E6)</f>
        <v/>
      </c>
      <c r="G6" s="2">
        <f>C6*4%</f>
        <v/>
      </c>
      <c r="H6" s="2">
        <f>F6-G6</f>
        <v/>
      </c>
    </row>
    <row r="7">
      <c r="A7" s="2" t="inlineStr">
        <is>
          <t>RAJ-806</t>
        </is>
      </c>
      <c r="B7" s="3" t="inlineStr">
        <is>
          <t>Suman Lata Regar</t>
        </is>
      </c>
      <c r="C7" s="4" t="n">
        <v>38000</v>
      </c>
      <c r="D7" s="2">
        <f>C7*12.5%</f>
        <v/>
      </c>
      <c r="E7" s="2">
        <f>C7*7.5%</f>
        <v/>
      </c>
      <c r="F7" s="2">
        <f>SUM(C7:E7)</f>
        <v/>
      </c>
      <c r="G7" s="2">
        <f>C7*4%</f>
        <v/>
      </c>
      <c r="H7" s="2">
        <f>F7-G7</f>
        <v/>
      </c>
    </row>
    <row r="8">
      <c r="A8" s="2" t="inlineStr">
        <is>
          <t>RAJ-807</t>
        </is>
      </c>
      <c r="B8" s="3" t="inlineStr">
        <is>
          <t>Kuldeep Singh</t>
        </is>
      </c>
      <c r="C8" s="4" t="n">
        <v>53000</v>
      </c>
      <c r="D8" s="2">
        <f>C8*12.5%</f>
        <v/>
      </c>
      <c r="E8" s="2">
        <f>C8*7.5%</f>
        <v/>
      </c>
      <c r="F8" s="2">
        <f>SUM(C8:E8)</f>
        <v/>
      </c>
      <c r="G8" s="2">
        <f>C8*4%</f>
        <v/>
      </c>
      <c r="H8" s="2">
        <f>F8-G8</f>
        <v/>
      </c>
    </row>
    <row r="10">
      <c r="A10" s="5" t="inlineStr">
        <is>
          <t>District Grand Total</t>
        </is>
      </c>
      <c r="C10" s="5">
        <f>SUM(C2:C8)</f>
        <v/>
      </c>
      <c r="H10" s="5">
        <f>SUM(H2:H8)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2026-10-24T08:20:48Z</dcterms:created>
  <dcterms:modified xmlns:dcterms="http://purl.org/dc/terms/" xmlns:xsi="http://www.w3.org/2001/XMLSchema-instance" xsi:type="dcterms:W3CDTF">2026-10-24T08:20:48Z</dcterms:modified>
</cp:coreProperties>
</file>