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  <color rgb="FFFFFFFF"/>
    </font>
    <font>
      <i val="1"/>
    </font>
  </fonts>
  <fills count="3">
    <fill>
      <patternFill/>
    </fill>
    <fill>
      <patternFill patternType="gray125"/>
    </fill>
    <fill>
      <patternFill patternType="solid">
        <fgColor rgb="FF595959"/>
        <bgColor rgb="FF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sheetData>
    <row r="1" ht="25" customHeight="1">
      <c r="A1" s="1" t="inlineStr">
        <is>
          <t>S.No</t>
        </is>
      </c>
      <c r="B1" s="1" t="inlineStr">
        <is>
          <t>Project Name</t>
        </is>
      </c>
      <c r="C1" s="1" t="inlineStr">
        <is>
          <t>Allocated Budget</t>
        </is>
      </c>
      <c r="D1" s="1" t="inlineStr">
        <is>
          <t>Expenditure</t>
        </is>
      </c>
      <c r="E1" s="1" t="inlineStr">
        <is>
          <t>Variance</t>
        </is>
      </c>
      <c r="F1" s="1" t="inlineStr">
        <is>
          <t>Status</t>
        </is>
      </c>
      <c r="G1" s="1" t="inlineStr">
        <is>
          <t>Completion %</t>
        </is>
      </c>
    </row>
    <row r="2" ht="20" customHeight="1">
      <c r="A2" s="2" t="n">
        <v>1</v>
      </c>
      <c r="B2" s="3" t="inlineStr">
        <is>
          <t>Rural Road Development</t>
        </is>
      </c>
      <c r="C2" s="4" t="n">
        <v>1250000.5</v>
      </c>
      <c r="D2" s="4" t="n">
        <v>1180000.25</v>
      </c>
      <c r="E2" s="2">
        <f>C2-D2</f>
        <v/>
      </c>
      <c r="F2" s="2">
        <f>IF(D2&lt;=C2,"Within Budget","Over Budget")</f>
        <v/>
      </c>
      <c r="G2" s="5">
        <f>D2/C2</f>
        <v/>
      </c>
    </row>
    <row r="3" ht="20" customHeight="1">
      <c r="A3" s="2" t="n">
        <v>2</v>
      </c>
      <c r="B3" s="3" t="inlineStr">
        <is>
          <t>Jal Jeevan Mission Phase-II</t>
        </is>
      </c>
      <c r="C3" s="4" t="n">
        <v>2400000</v>
      </c>
      <c r="D3" s="4" t="n">
        <v>2450000</v>
      </c>
      <c r="E3" s="2">
        <f>C3-D3</f>
        <v/>
      </c>
      <c r="F3" s="2">
        <f>IF(D3&lt;=C3,"Within Budget","Over Budget")</f>
        <v/>
      </c>
      <c r="G3" s="5">
        <f>D3/C3</f>
        <v/>
      </c>
    </row>
    <row r="4" ht="20" customHeight="1">
      <c r="A4" s="2" t="n">
        <v>3</v>
      </c>
      <c r="B4" s="3" t="inlineStr">
        <is>
          <t>Smart Village Initiative</t>
        </is>
      </c>
      <c r="C4" s="4" t="n">
        <v>850000.75</v>
      </c>
      <c r="D4" s="4" t="n">
        <v>810000.5</v>
      </c>
      <c r="E4" s="2">
        <f>C4-D4</f>
        <v/>
      </c>
      <c r="F4" s="2">
        <f>IF(D4&lt;=C4,"Within Budget","Over Budget")</f>
        <v/>
      </c>
      <c r="G4" s="5">
        <f>D4/C4</f>
        <v/>
      </c>
    </row>
    <row r="5" ht="20" customHeight="1">
      <c r="A5" s="2" t="n">
        <v>4</v>
      </c>
      <c r="B5" s="3" t="inlineStr">
        <is>
          <t>Solar Pump Distribution</t>
        </is>
      </c>
      <c r="C5" s="4" t="n">
        <v>1600000</v>
      </c>
      <c r="D5" s="4" t="n">
        <v>1520000</v>
      </c>
      <c r="E5" s="2">
        <f>C5-D5</f>
        <v/>
      </c>
      <c r="F5" s="2">
        <f>IF(D5&lt;=C5,"Within Budget","Over Budget")</f>
        <v/>
      </c>
      <c r="G5" s="5">
        <f>D5/C5</f>
        <v/>
      </c>
    </row>
    <row r="6" ht="20" customHeight="1">
      <c r="A6" s="2" t="n">
        <v>5</v>
      </c>
      <c r="B6" s="3" t="inlineStr">
        <is>
          <t>Primary Health Centre Upgrade</t>
        </is>
      </c>
      <c r="C6" s="4" t="n">
        <v>950000.25</v>
      </c>
      <c r="D6" s="4" t="n">
        <v>990000.75</v>
      </c>
      <c r="E6" s="2">
        <f>C6-D6</f>
        <v/>
      </c>
      <c r="F6" s="2">
        <f>IF(D6&lt;=C6,"Within Budget","Over Budget")</f>
        <v/>
      </c>
      <c r="G6" s="5">
        <f>D6/C6</f>
        <v/>
      </c>
    </row>
    <row r="7" ht="20" customHeight="1">
      <c r="A7" s="2" t="n">
        <v>6</v>
      </c>
      <c r="B7" s="3" t="inlineStr">
        <is>
          <t>Anganwadi Infrastructure</t>
        </is>
      </c>
      <c r="C7" s="4" t="n">
        <v>450000.5</v>
      </c>
      <c r="D7" s="4" t="n">
        <v>430000</v>
      </c>
      <c r="E7" s="2">
        <f>C7-D7</f>
        <v/>
      </c>
      <c r="F7" s="2">
        <f>IF(D7&lt;=C7,"Within Budget","Over Budget")</f>
        <v/>
      </c>
      <c r="G7" s="5">
        <f>D7/C7</f>
        <v/>
      </c>
    </row>
  </sheetData>
  <pageMargins left="0.75" right="0.75" top="1" bottom="1" header="0.5" footer="0.5"/>
  <pageSetup orientation="landscape" paperSize="9" fitToHeight="1" fitToWidth="1"/>
  <headerFooter>
    <oddHeader>&amp;LDistrict Development Report&amp;RFinancial Year 2026-27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2026-10-24T08:24:09Z</dcterms:created>
  <dcterms:modified xmlns:dcterms="http://purl.org/dc/terms/" xmlns:xsi="http://www.w3.org/2001/XMLSchema-instance" xsi:type="dcterms:W3CDTF">2026-10-24T08:24:09Z</dcterms:modified>
</cp:coreProperties>
</file>